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xp75693\Downloads\"/>
    </mc:Choice>
  </mc:AlternateContent>
  <xr:revisionPtr revIDLastSave="0" documentId="13_ncr:1_{6025AB7F-8891-4B50-BAD4-13C815480481}" xr6:coauthVersionLast="47" xr6:coauthVersionMax="47" xr10:uidLastSave="{00000000-0000-0000-0000-000000000000}"/>
  <bookViews>
    <workbookView xWindow="-120" yWindow="-120" windowWidth="29040" windowHeight="15720" activeTab="2" xr2:uid="{00000000-000D-0000-FFFF-FFFF00000000}"/>
  </bookViews>
  <sheets>
    <sheet name="Reglas_actuales" sheetId="1" r:id="rId1"/>
    <sheet name="Reglas_tecnicas" sheetId="2" r:id="rId2"/>
    <sheet name="Reglas_pendientes" sheetId="4" r:id="rId3"/>
    <sheet name="Resume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5" l="1"/>
  <c r="C12" i="5"/>
  <c r="D11" i="5"/>
  <c r="C11" i="5"/>
  <c r="D10" i="5"/>
  <c r="C10" i="5"/>
</calcChain>
</file>

<file path=xl/sharedStrings.xml><?xml version="1.0" encoding="utf-8"?>
<sst xmlns="http://schemas.openxmlformats.org/spreadsheetml/2006/main" count="251" uniqueCount="146">
  <si>
    <t>Reglas actuales</t>
  </si>
  <si>
    <t>Revisión operativa · auto-tasacion · main · commit 10d4fc9d83e8</t>
  </si>
  <si>
    <t>ID</t>
  </si>
  <si>
    <t>Regla / tema</t>
  </si>
  <si>
    <t>Comportamiento actual / punto a validar</t>
  </si>
  <si>
    <t>Criticidad</t>
  </si>
  <si>
    <t>Estado operador</t>
  </si>
  <si>
    <t>Observación / corrección propuesta</t>
  </si>
  <si>
    <t>Ejemplo / excepción</t>
  </si>
  <si>
    <t>Columna1</t>
  </si>
  <si>
    <t>RN-01</t>
  </si>
  <si>
    <t>Dirección canónica</t>
  </si>
  <si>
    <t>Prioriza la dirección según minuta de la unidad tasada. Si no existe, usa inspección ocular; como último respaldo usa dirección municipal/matriz.</t>
  </si>
  <si>
    <t>Alta</t>
  </si>
  <si>
    <t>Pendiente</t>
  </si>
  <si>
    <t>RN-02</t>
  </si>
  <si>
    <t>Pisos / sótanos / azotea</t>
  </si>
  <si>
    <t>La tabla de características prevalece sobre la descripción narrativa. La azotea no cuenta como piso. Los sótanos se informan por separado. Una celda tipo “3/0” se interpreta como 3 pisos y 0 sótanos.</t>
  </si>
  <si>
    <t>RN-03</t>
  </si>
  <si>
    <t>Primer Construyo</t>
  </si>
  <si>
    <t>Si el informe declara Primer Construyo, terreno sin construcciones y una edificación proyectada a N pisos y azotea, usa N pisos, 0 sótanos y edad efectiva 0; el año se deriva de la fecha de expedición.</t>
  </si>
  <si>
    <t>RN-04</t>
  </si>
  <si>
    <t>Fecha de expedición</t>
  </si>
  <si>
    <t>Toma el año asociado a “Fecha de Expedición”. La fecha de caducidad no puede sustituirla.</t>
  </si>
  <si>
    <t>Media</t>
  </si>
  <si>
    <t>RN-05</t>
  </si>
  <si>
    <t>Ubicación territorial de Solicitud Construyo</t>
  </si>
  <si>
    <t>Solo usa esa fuente como respaldo si la dirección prioritaria no contiene distrito, provincia y departamento. La terna debe coincidir de forma única con el catálogo DATOS.</t>
  </si>
  <si>
    <t>RN-06</t>
  </si>
  <si>
    <t>Homologación Lambayeque</t>
  </si>
  <si>
    <t>“Lambayeque” del PDF se considera equivalente a la grafía histórica “Lambayaque” del catálogo DATOS y conserva el código 15 existente.</t>
  </si>
  <si>
    <t>RN-07</t>
  </si>
  <si>
    <t>Ubicación sin código autorizado</t>
  </si>
  <si>
    <t>Si el tipo de ubicación no está homologado en DATOS, UBICACION y UBICACION1 quedan vacíos. La fila puede continuar si la geografía obligatoria está completa.</t>
  </si>
  <si>
    <t>RN-08</t>
  </si>
  <si>
    <t>Importe y moneda</t>
  </si>
  <si>
    <t>Prioriza el valor elegido en PEN. Si no existe PEN usa USD. IMPORTE se emite como texto con miles y dos decimales. VALOR DEL BIEN se deja vacío por compatibilidad histórica.</t>
  </si>
  <si>
    <t>RN-09</t>
  </si>
  <si>
    <t>CLASE por número de pisos</t>
  </si>
  <si>
    <t>Hasta 4 pisos usa la clase “INM.HASTA 4 PISOS”; de 5 a 10 usa “INM.ENTRE 5 Y 10 PISOS”; más de 10 usa “INM.CON MAS DE 10 PISOS”, tomando el código de DATOS.</t>
  </si>
  <si>
    <t>RN-10</t>
  </si>
  <si>
    <t>PRESTAMO</t>
  </si>
  <si>
    <t>Cloud Run lo deja vacío. Se completa posteriormente mediante Power Automate Desktop / IBM 3270.</t>
  </si>
  <si>
    <t>RN-11</t>
  </si>
  <si>
    <t>ID_CASO</t>
  </si>
  <si>
    <t>Se genera con el nombre interno del PDF dentro del ZIP + contenido. PDFs binariamente iguales con nombres distintos reciben IDs distintos para conciliación.</t>
  </si>
  <si>
    <t>RN-12</t>
  </si>
  <si>
    <t>Salida operativa</t>
  </si>
  <si>
    <t>Solo los casos que cumplen el contrato y validaciones ingresan a PARA_PROCESAR. Las excepciones quedan fuera de la cola de IBM 3270.</t>
  </si>
  <si>
    <t>Reglas tecnicas</t>
  </si>
  <si>
    <t>RT-01</t>
  </si>
  <si>
    <t>Campos mínimos para procesar</t>
  </si>
  <si>
    <t>Se exige TIPO DE INMUEBLE, MONEDA, IMPORTE, DIRECCION, DIRECCION1, MUNICIPIO, DIST_COD, PROV_COD, DEPT_COD, CLASE, PISOS, SOTANOS y AÑO. PRESTAMO no es obligatorio en esta etapa.</t>
  </si>
  <si>
    <t>RT-02</t>
  </si>
  <si>
    <t>Catálogos cerrados</t>
  </si>
  <si>
    <t>Los códigos solo se emiten cuando existe coincidencia explícita en DATOS. No se inventan códigos ni se completa Lima por defecto.</t>
  </si>
  <si>
    <t>RT-03</t>
  </si>
  <si>
    <t>Tipo de inmueble aceptado por IA</t>
  </si>
  <si>
    <t>La corrección IA solo acepta CASA o DEPARTAMENTO. Cualquier otro tipo propuesto por IA es rechazado.</t>
  </si>
  <si>
    <t>Revisar</t>
  </si>
  <si>
    <t>RT-04</t>
  </si>
  <si>
    <t>Valor asociado al tipo</t>
  </si>
  <si>
    <t>Para DEPARTAMENTO, el catálogo asocia VALOR COMERCIAL. Para CASA, asocia VALOR NUEVO. La equivalencia operativa con valor de reconstrucción debe confirmarse.</t>
  </si>
  <si>
    <t>RT-05</t>
  </si>
  <si>
    <t>Rangos de IA</t>
  </si>
  <si>
    <t>IA solo puede proponer pisos 1–150, sótanos 0–50 y año de construcción 1900–2100. Exige evidencia y página válida.</t>
  </si>
  <si>
    <t>RT-06</t>
  </si>
  <si>
    <t>Dirección propuesta por IA</t>
  </si>
  <si>
    <t>Solo se acepta si fue solicitada, incluye evidencia/página y tiene entre 8 y 500 caracteres. Luego vuelve a validación y catálogo.</t>
  </si>
  <si>
    <t>RT-07</t>
  </si>
  <si>
    <t>Conflicto de negocio</t>
  </si>
  <si>
    <t>Observaciones que comienzan con “Conflicto ” se consideran conflicto de negocio y no deben resolverse por inferencia no aprobada.</t>
  </si>
  <si>
    <t>RT-08</t>
  </si>
  <si>
    <t>Ubigeo por distrito inequívoco</t>
  </si>
  <si>
    <t>Si falta parte de la jerarquía territorial pero el distrito aparece una sola vez en el catálogo, el sistema puede completar provincia y departamento desde DATOS.</t>
  </si>
  <si>
    <t>RT-09</t>
  </si>
  <si>
    <t>Dirección sin vía reconocible</t>
  </si>
  <si>
    <t>Si no identifica una vía, el parser puede construir domicilio con SN y componentes como lote/manzana/parcela; además TIPO VIA 1 cae por defecto en AVENIDA.</t>
  </si>
  <si>
    <t>RT-10</t>
  </si>
  <si>
    <t>Valores SN en dirección</t>
  </si>
  <si>
    <t>Cuando ciertos componentes no se encuentran, el parser usa “SN” como valor técnico por defecto antes de homologación posterior.</t>
  </si>
  <si>
    <t>RT-11</t>
  </si>
  <si>
    <t>No duplicación de componentes</t>
  </si>
  <si>
    <t>Evita repetir lote/manzana entre domicilio, referencia y exterior; también evita repetir ubicación si ya está incluida en domicilio.</t>
  </si>
  <si>
    <t>RT-12</t>
  </si>
  <si>
    <t>Límites de longitud</t>
  </si>
  <si>
    <t>Domicilio 50 caracteres; exterior 8; interior 8; referencia 25; ubicación 30. El truncado intenta respetar componentes completos.</t>
  </si>
  <si>
    <t>Reglas pendientes</t>
  </si>
  <si>
    <t>PD-01</t>
  </si>
  <si>
    <t>Dirección operativa definitiva</t>
  </si>
  <si>
    <t>Confirmar formalmente qué fuente debe alimentar IBM 3270 y qué hacer cuando dos fuentes discrepan.</t>
  </si>
  <si>
    <t>PD-02</t>
  </si>
  <si>
    <t>Tipos de ubicación no homologados</t>
  </si>
  <si>
    <t>Definir si torre, condominio, SN u otras denominaciones deben quedar vacías, homologarse o requerir nuevo código; y si la falta de código bloquea IBM.</t>
  </si>
  <si>
    <t>PD-03</t>
  </si>
  <si>
    <t>Múltiples componentes/unidades</t>
  </si>
  <si>
    <t>Definir qué hacer cuando un PDF incluye departamento + cochera + depósito: una fila por unidad o solo la garantía principal.</t>
  </si>
  <si>
    <t>PD-04</t>
  </si>
  <si>
    <t>Casa: reconstrucción vs valor nuevo</t>
  </si>
  <si>
    <t>Confirmar si “valor de reconstrucción” satisface el campo/código “VALOR NUEVO” para CASA.</t>
  </si>
  <si>
    <t>PD-05</t>
  </si>
  <si>
    <t>Año y edad efectiva</t>
  </si>
  <si>
    <t>Confirmar tratamiento de edad 0, “En construcción”, rangos de edad, remodelaciones y años improbables.</t>
  </si>
  <si>
    <t>PD-06</t>
  </si>
  <si>
    <t>Conciliación con IBM 3270</t>
  </si>
  <si>
    <t>Definir llave autorizada, datos a comparar y estado ante cero, una o varias coincidencias, además de permisos de reintento/corrección.</t>
  </si>
  <si>
    <t>PD-07</t>
  </si>
  <si>
    <t>PDF escaneado / OCR</t>
  </si>
  <si>
    <t>Definir señal de derivación a OCR o revisión manual, solución OCR corporativa aprobada y campos mínimos obligatorios para continuar.</t>
  </si>
  <si>
    <t>VALIDACIÓN OPERATIVA DE REGLAS DE NEGOCIO — AUTO TASACIONES</t>
  </si>
  <si>
    <t>Repositorio</t>
  </si>
  <si>
    <t>https://github.com/eduardo202020/auto-tasacion</t>
  </si>
  <si>
    <t>Rama</t>
  </si>
  <si>
    <t>main</t>
  </si>
  <si>
    <t>Commit verificado</t>
  </si>
  <si>
    <t>10d4fc9d83e898266f87905dfdc44a080a95a8b9</t>
  </si>
  <si>
    <t>Fecha de verificación</t>
  </si>
  <si>
    <t>2026-10-06</t>
  </si>
  <si>
    <t>Objetivo</t>
  </si>
  <si>
    <t>Confirmar con Operaciones si las reglas y supuestos actuales del sistema representan correctamente el proceso real.</t>
  </si>
  <si>
    <t>Hoja</t>
  </si>
  <si>
    <t>Total reglas</t>
  </si>
  <si>
    <t>Pendientes</t>
  </si>
  <si>
    <t>Requieren corrección</t>
  </si>
  <si>
    <t>Reglas_actuales</t>
  </si>
  <si>
    <t>Reglas_tecnicas</t>
  </si>
  <si>
    <t>Reglas_pendientes</t>
  </si>
  <si>
    <t>INSTRUCCIONES PARA OPERACIONES</t>
  </si>
  <si>
    <t>1) Revise cada fila y seleccione Estado operador: Correcto, Corregir, Pendiente o No aplica.
2) Si marca Corregir, escriba la regla correcta en Observación / corrección propuesta.
3) Agregue un ejemplo o excepción real cuando ayude a precisar la regla.
4) Las filas con criticidad Revisar son supuestos técnicos que podrían estar afectando el negocio sin validación formal.
5) Después de la validación, cada cambio aprobado debe reflejarse en código, regla/catálogo versionado y pruebas automáticas.</t>
  </si>
  <si>
    <t>Puntos de atención detectados</t>
  </si>
  <si>
    <t>Motivo</t>
  </si>
  <si>
    <t>Tipo de vía por defecto = AVENIDA</t>
  </si>
  <si>
    <t>El parser puede asignar AVENIDA cuando no reconoce una vía; debe validarse si es aceptable.</t>
  </si>
  <si>
    <t>Valores SN automáticos</t>
  </si>
  <si>
    <t>El parser usa SN como fallback en varios componentes de dirección; conviene validar cuándo es válido y cuándo debe ir a revisión.</t>
  </si>
  <si>
    <t>CASA = VALOR NUEVO</t>
  </si>
  <si>
    <t>La equivalencia entre valor de reconstrucción y VALOR NUEVO todavía requiere confirmación operativa.</t>
  </si>
  <si>
    <t>Ubigeo por distrito único</t>
  </si>
  <si>
    <t>El sistema puede completar provincia/departamento si el distrito es inequívoco; validar si Operaciones acepta esa inferencia.</t>
  </si>
  <si>
    <t>Correcto</t>
  </si>
  <si>
    <t>Corregir</t>
  </si>
  <si>
    <t>Prioriza direccion registral, como segunda prioridad direccion según minuta y por ultimo inspeccion ocular.</t>
  </si>
  <si>
    <t>Es correcto lo que se menciona, tener en consideracion que cuando la tasacion indica terreno lo tomamos como "CASA"</t>
  </si>
  <si>
    <t>Los campos obligatorios son: prestamo, tipo de inmueble, moneda, importe, domicilio, domicilio 1, n.exterior, distrito, proviencia, departamento, n.pisos,n.sotanos y año de construccion. Siguiendo los campos que presenta la macro de generacion.</t>
  </si>
  <si>
    <t>Para CASA siempre se toma en cuenta el valor de reconstruccion, mas alla que el termino asociado sea VALOR A NUEVO</t>
  </si>
  <si>
    <t>De requerirse se tiene que modificar el codigo para agregar todas las referencias de la direccion faltante.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</si>
</sst>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rgb="FFFFFFFF"/>
      <name val="Carlito"/>
    </font>
    <font>
      <i/>
      <sz val="9"/>
      <color rgb="FF2F5597"/>
      <name val="Carlito"/>
    </font>
    <font>
      <b/>
      <sz val="11"/>
      <color rgb="FFFFFFFF"/>
      <name val="Carlito"/>
    </font>
    <font>
      <b/>
      <sz val="16"/>
      <color rgb="FFFFFFFF"/>
      <name val="Carlito"/>
    </font>
    <font>
      <b/>
      <sz val="11"/>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7365D"/>
      </patternFill>
    </fill>
    <fill>
      <patternFill patternType="solid">
        <fgColor rgb="FF4472C4"/>
      </patternFill>
    </fill>
    <fill>
      <patternFill patternType="solid">
        <fgColor rgb="FFF3F6FA"/>
      </patternFill>
    </fill>
    <fill>
      <patternFill patternType="solid">
        <fgColor rgb="FFC65911"/>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3" fillId="4" borderId="0" xfId="0" applyFont="1" applyFill="1" applyAlignment="1">
      <alignment horizontal="center" vertical="top" wrapText="1"/>
    </xf>
    <xf numFmtId="0" fontId="0" fillId="0" borderId="0" xfId="0" applyAlignment="1">
      <alignment vertical="top" wrapText="1"/>
    </xf>
    <xf numFmtId="0" fontId="5" fillId="3" borderId="0" xfId="0" applyFont="1" applyFill="1"/>
    <xf numFmtId="0" fontId="3" fillId="4" borderId="0" xfId="0" applyFont="1" applyFill="1" applyAlignment="1">
      <alignment horizontal="center"/>
    </xf>
    <xf numFmtId="0" fontId="3" fillId="8" borderId="0" xfId="0" applyFont="1" applyFill="1"/>
    <xf numFmtId="0" fontId="1" fillId="2" borderId="0" xfId="0" applyFont="1" applyFill="1" applyAlignment="1">
      <alignment horizontal="left" vertical="center"/>
    </xf>
    <xf numFmtId="0" fontId="2" fillId="3" borderId="0" xfId="0" applyFont="1" applyFill="1"/>
    <xf numFmtId="0" fontId="4" fillId="5" borderId="0" xfId="0" applyFont="1" applyFill="1" applyAlignment="1">
      <alignment horizontal="center" vertical="center"/>
    </xf>
    <xf numFmtId="0" fontId="3" fillId="6" borderId="0" xfId="0" applyFont="1" applyFill="1"/>
    <xf numFmtId="0" fontId="0" fillId="7" borderId="0" xfId="0" applyFill="1" applyAlignment="1">
      <alignment vertical="top" wrapText="1"/>
    </xf>
  </cellXfs>
  <cellStyles count="1">
    <cellStyle name="Normal" xfId="0" builtinId="0"/>
  </cellStyles>
  <dxfs count="36">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ill>
        <patternFill patternType="solid">
          <bgColor rgb="FFF4CCCC"/>
        </patternFill>
      </fill>
    </dxf>
    <dxf>
      <font>
        <b/>
      </font>
      <fill>
        <patternFill patternType="solid">
          <bgColor rgb="FFFFD966"/>
        </patternFill>
      </fill>
    </dxf>
    <dxf>
      <fill>
        <patternFill patternType="solid">
          <bgColor rgb="FFF4CCCC"/>
        </patternFill>
      </fill>
    </dxf>
    <dxf>
      <font>
        <b/>
      </font>
      <fill>
        <patternFill patternType="solid">
          <bgColor rgb="FFFFD966"/>
        </patternFill>
      </fill>
    </dxf>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ill>
        <patternFill patternType="solid">
          <bgColor rgb="FFF4CCCC"/>
        </patternFill>
      </fill>
    </dxf>
    <dxf>
      <font>
        <b/>
      </font>
      <fill>
        <patternFill patternType="solid">
          <bgColor rgb="FFFFD966"/>
        </patternFill>
      </fill>
    </dxf>
    <dxf>
      <fill>
        <patternFill patternType="solid">
          <bgColor rgb="FFF4CCCC"/>
        </patternFill>
      </fill>
    </dxf>
    <dxf>
      <font>
        <b/>
      </font>
      <fill>
        <patternFill patternType="solid">
          <bgColor rgb="FFFFD966"/>
        </patternFill>
      </fill>
    </dxf>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ont>
        <color rgb="FF666666"/>
      </font>
      <fill>
        <patternFill patternType="solid">
          <bgColor rgb="FFE7E6E6"/>
        </patternFill>
      </fill>
    </dxf>
    <dxf>
      <font>
        <color rgb="FF7F6000"/>
      </font>
      <fill>
        <patternFill patternType="solid">
          <bgColor rgb="FFFFF2CC"/>
        </patternFill>
      </fill>
    </dxf>
    <dxf>
      <font>
        <b/>
        <color rgb="FFC00000"/>
      </font>
      <fill>
        <patternFill patternType="solid">
          <bgColor rgb="FFFCE4D6"/>
        </patternFill>
      </fill>
    </dxf>
    <dxf>
      <font>
        <color rgb="FF375623"/>
      </font>
      <fill>
        <patternFill patternType="solid">
          <bgColor rgb="FFE2F0D9"/>
        </patternFill>
      </fill>
    </dxf>
    <dxf>
      <fill>
        <patternFill patternType="solid">
          <bgColor rgb="FFF4CCCC"/>
        </patternFill>
      </fill>
    </dxf>
    <dxf>
      <font>
        <b/>
      </font>
      <fill>
        <patternFill patternType="solid">
          <bgColor rgb="FFFFD966"/>
        </patternFill>
      </fill>
    </dxf>
    <dxf>
      <fill>
        <patternFill patternType="solid">
          <bgColor rgb="FFF4CCCC"/>
        </patternFill>
      </fill>
    </dxf>
    <dxf>
      <font>
        <b/>
      </font>
      <fill>
        <patternFill patternType="solid">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lasActuales" displayName="TblReglasActuales" ref="A4:H16" totalsRowShown="0">
  <tableColumns count="8">
    <tableColumn id="1" xr3:uid="{00000000-0010-0000-0000-000001000000}" name="ID"/>
    <tableColumn id="2" xr3:uid="{00000000-0010-0000-0000-000002000000}" name="Regla / tema"/>
    <tableColumn id="3" xr3:uid="{00000000-0010-0000-0000-000003000000}" name="Comportamiento actual / punto a validar"/>
    <tableColumn id="4" xr3:uid="{00000000-0010-0000-0000-000004000000}" name="Criticidad"/>
    <tableColumn id="5" xr3:uid="{00000000-0010-0000-0000-000005000000}" name="Estado operador"/>
    <tableColumn id="6" xr3:uid="{00000000-0010-0000-0000-000006000000}" name="Observación / corrección propuesta"/>
    <tableColumn id="7" xr3:uid="{00000000-0010-0000-0000-000007000000}" name="Ejemplo / excepción"/>
    <tableColumn id="8" xr3:uid="{00000000-0010-0000-0000-000008000000}" name="Columna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eglasTecnicas" displayName="TblReglasTecnicas" ref="A4:H16" totalsRowShown="0">
  <tableColumns count="8">
    <tableColumn id="1" xr3:uid="{00000000-0010-0000-0100-000001000000}" name="ID"/>
    <tableColumn id="2" xr3:uid="{00000000-0010-0000-0100-000002000000}" name="Regla / tema"/>
    <tableColumn id="3" xr3:uid="{00000000-0010-0000-0100-000003000000}" name="Comportamiento actual / punto a validar"/>
    <tableColumn id="4" xr3:uid="{00000000-0010-0000-0100-000004000000}" name="Criticidad"/>
    <tableColumn id="5" xr3:uid="{00000000-0010-0000-0100-000005000000}" name="Estado operador"/>
    <tableColumn id="6" xr3:uid="{00000000-0010-0000-0100-000006000000}" name="Observación / corrección propuesta"/>
    <tableColumn id="7" xr3:uid="{00000000-0010-0000-0100-000007000000}" name="Ejemplo / excepción"/>
    <tableColumn id="8" xr3:uid="{00000000-0010-0000-0100-000008000000}" name="Columna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Pendientes" displayName="TblPendientes" ref="A4:H11" totalsRowShown="0">
  <tableColumns count="8">
    <tableColumn id="1" xr3:uid="{00000000-0010-0000-0300-000001000000}" name="ID"/>
    <tableColumn id="2" xr3:uid="{00000000-0010-0000-0300-000002000000}" name="Regla / tema"/>
    <tableColumn id="3" xr3:uid="{00000000-0010-0000-0300-000003000000}" name="Comportamiento actual / punto a validar"/>
    <tableColumn id="4" xr3:uid="{00000000-0010-0000-0300-000004000000}" name="Criticidad"/>
    <tableColumn id="5" xr3:uid="{00000000-0010-0000-0300-000005000000}" name="Estado operador"/>
    <tableColumn id="6" xr3:uid="{00000000-0010-0000-0300-000006000000}" name="Observación / corrección propuesta"/>
    <tableColumn id="7" xr3:uid="{00000000-0010-0000-0300-000007000000}" name="Ejemplo / excepción"/>
    <tableColumn id="8" xr3:uid="{00000000-0010-0000-0300-000008000000}" name="Columna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opLeftCell="A4" zoomScale="70" zoomScaleNormal="70" workbookViewId="0">
      <selection activeCell="G13" sqref="G13"/>
    </sheetView>
  </sheetViews>
  <sheetFormatPr baseColWidth="10" defaultColWidth="8.625" defaultRowHeight="14.25"/>
  <cols>
    <col min="1" max="1" width="10" customWidth="1"/>
    <col min="2" max="2" width="28" customWidth="1"/>
    <col min="3" max="3" width="66" customWidth="1"/>
    <col min="4" max="4" width="13" customWidth="1"/>
    <col min="5" max="5" width="17" customWidth="1"/>
    <col min="6" max="6" width="44" customWidth="1"/>
    <col min="7" max="7" width="34" customWidth="1"/>
    <col min="8" max="8" width="2" customWidth="1"/>
  </cols>
  <sheetData>
    <row r="1" spans="1:8" ht="19.5">
      <c r="A1" s="7" t="s">
        <v>0</v>
      </c>
      <c r="B1" s="7"/>
      <c r="C1" s="7"/>
      <c r="D1" s="7"/>
      <c r="E1" s="7"/>
      <c r="F1" s="7"/>
      <c r="G1" s="7"/>
      <c r="H1" s="7"/>
    </row>
    <row r="2" spans="1:8">
      <c r="A2" s="8" t="s">
        <v>1</v>
      </c>
      <c r="B2" s="8"/>
      <c r="C2" s="8"/>
      <c r="D2" s="8"/>
      <c r="E2" s="8"/>
      <c r="F2" s="8"/>
      <c r="G2" s="8"/>
      <c r="H2" s="8"/>
    </row>
    <row r="4" spans="1:8" ht="120">
      <c r="A4" s="2" t="s">
        <v>2</v>
      </c>
      <c r="B4" s="2" t="s">
        <v>3</v>
      </c>
      <c r="C4" s="2" t="s">
        <v>4</v>
      </c>
      <c r="D4" s="2" t="s">
        <v>5</v>
      </c>
      <c r="E4" s="2" t="s">
        <v>6</v>
      </c>
      <c r="F4" s="2" t="s">
        <v>7</v>
      </c>
      <c r="G4" s="2" t="s">
        <v>8</v>
      </c>
      <c r="H4" s="2" t="s">
        <v>9</v>
      </c>
    </row>
    <row r="5" spans="1:8" ht="42.75">
      <c r="A5" s="3" t="s">
        <v>10</v>
      </c>
      <c r="B5" s="3" t="s">
        <v>11</v>
      </c>
      <c r="C5" s="3" t="s">
        <v>12</v>
      </c>
      <c r="D5" s="3" t="s">
        <v>13</v>
      </c>
      <c r="E5" s="3" t="s">
        <v>14</v>
      </c>
      <c r="F5" s="3" t="s">
        <v>140</v>
      </c>
      <c r="G5" s="3" t="s">
        <v>141</v>
      </c>
      <c r="H5" s="3"/>
    </row>
    <row r="6" spans="1:8" ht="42.75">
      <c r="A6" s="3" t="s">
        <v>15</v>
      </c>
      <c r="B6" s="3" t="s">
        <v>16</v>
      </c>
      <c r="C6" s="3" t="s">
        <v>17</v>
      </c>
      <c r="D6" s="3" t="s">
        <v>13</v>
      </c>
      <c r="E6" s="3" t="s">
        <v>14</v>
      </c>
      <c r="F6" s="3" t="s">
        <v>139</v>
      </c>
      <c r="G6" s="3"/>
      <c r="H6" s="3"/>
    </row>
    <row r="7" spans="1:8" ht="57">
      <c r="A7" s="3" t="s">
        <v>18</v>
      </c>
      <c r="B7" s="3" t="s">
        <v>19</v>
      </c>
      <c r="C7" s="3" t="s">
        <v>20</v>
      </c>
      <c r="D7" s="3" t="s">
        <v>13</v>
      </c>
      <c r="E7" s="3" t="s">
        <v>14</v>
      </c>
      <c r="F7" s="3" t="s">
        <v>140</v>
      </c>
      <c r="G7" s="3" t="s">
        <v>142</v>
      </c>
      <c r="H7" s="3"/>
    </row>
    <row r="8" spans="1:8" ht="28.5">
      <c r="A8" s="3" t="s">
        <v>21</v>
      </c>
      <c r="B8" s="3" t="s">
        <v>22</v>
      </c>
      <c r="C8" s="3" t="s">
        <v>23</v>
      </c>
      <c r="D8" s="3" t="s">
        <v>24</v>
      </c>
      <c r="E8" s="3" t="s">
        <v>14</v>
      </c>
      <c r="F8" s="3" t="s">
        <v>139</v>
      </c>
      <c r="G8" s="3"/>
      <c r="H8" s="3"/>
    </row>
    <row r="9" spans="1:8" ht="42.75">
      <c r="A9" s="3" t="s">
        <v>25</v>
      </c>
      <c r="B9" s="3" t="s">
        <v>26</v>
      </c>
      <c r="C9" s="3" t="s">
        <v>27</v>
      </c>
      <c r="D9" s="3" t="s">
        <v>13</v>
      </c>
      <c r="E9" s="3" t="s">
        <v>14</v>
      </c>
      <c r="F9" s="3" t="s">
        <v>139</v>
      </c>
      <c r="G9" s="3"/>
      <c r="H9" s="3"/>
    </row>
    <row r="10" spans="1:8" ht="28.5">
      <c r="A10" s="3" t="s">
        <v>28</v>
      </c>
      <c r="B10" s="3" t="s">
        <v>29</v>
      </c>
      <c r="C10" s="3" t="s">
        <v>30</v>
      </c>
      <c r="D10" s="3" t="s">
        <v>24</v>
      </c>
      <c r="E10" s="3" t="s">
        <v>14</v>
      </c>
      <c r="F10" s="3" t="s">
        <v>139</v>
      </c>
      <c r="G10" s="3"/>
      <c r="H10" s="3"/>
    </row>
    <row r="11" spans="1:8" ht="42.75">
      <c r="A11" s="3" t="s">
        <v>31</v>
      </c>
      <c r="B11" s="3" t="s">
        <v>32</v>
      </c>
      <c r="C11" s="3" t="s">
        <v>33</v>
      </c>
      <c r="D11" s="3" t="s">
        <v>13</v>
      </c>
      <c r="E11" s="3" t="s">
        <v>14</v>
      </c>
      <c r="F11" s="3" t="s">
        <v>139</v>
      </c>
      <c r="G11" s="3"/>
      <c r="H11" s="3"/>
    </row>
    <row r="12" spans="1:8" ht="42.75">
      <c r="A12" s="3" t="s">
        <v>34</v>
      </c>
      <c r="B12" s="3" t="s">
        <v>35</v>
      </c>
      <c r="C12" s="3" t="s">
        <v>36</v>
      </c>
      <c r="D12" s="3" t="s">
        <v>13</v>
      </c>
      <c r="E12" s="3" t="s">
        <v>14</v>
      </c>
      <c r="F12" s="3" t="s">
        <v>139</v>
      </c>
      <c r="G12" s="3"/>
      <c r="H12" s="3"/>
    </row>
    <row r="13" spans="1:8" ht="42.75">
      <c r="A13" s="3" t="s">
        <v>37</v>
      </c>
      <c r="B13" s="3" t="s">
        <v>38</v>
      </c>
      <c r="C13" s="3" t="s">
        <v>39</v>
      </c>
      <c r="D13" s="3" t="s">
        <v>13</v>
      </c>
      <c r="E13" s="3" t="s">
        <v>14</v>
      </c>
      <c r="F13" s="3" t="s">
        <v>139</v>
      </c>
      <c r="G13" s="3"/>
      <c r="H13" s="3"/>
    </row>
    <row r="14" spans="1:8" ht="28.5">
      <c r="A14" s="3" t="s">
        <v>40</v>
      </c>
      <c r="B14" s="3" t="s">
        <v>41</v>
      </c>
      <c r="C14" s="3" t="s">
        <v>42</v>
      </c>
      <c r="D14" s="3" t="s">
        <v>13</v>
      </c>
      <c r="E14" s="3" t="s">
        <v>14</v>
      </c>
      <c r="F14" s="3" t="s">
        <v>139</v>
      </c>
      <c r="G14" s="3"/>
      <c r="H14" s="3"/>
    </row>
    <row r="15" spans="1:8" ht="42.75">
      <c r="A15" s="3" t="s">
        <v>43</v>
      </c>
      <c r="B15" s="3" t="s">
        <v>44</v>
      </c>
      <c r="C15" s="3" t="s">
        <v>45</v>
      </c>
      <c r="D15" s="3" t="s">
        <v>24</v>
      </c>
      <c r="E15" s="3" t="s">
        <v>14</v>
      </c>
      <c r="F15" s="3" t="s">
        <v>139</v>
      </c>
      <c r="G15" s="3"/>
      <c r="H15" s="3"/>
    </row>
    <row r="16" spans="1:8" ht="28.5">
      <c r="A16" s="3" t="s">
        <v>46</v>
      </c>
      <c r="B16" s="3" t="s">
        <v>47</v>
      </c>
      <c r="C16" s="3" t="s">
        <v>48</v>
      </c>
      <c r="D16" s="3" t="s">
        <v>13</v>
      </c>
      <c r="E16" s="3" t="s">
        <v>14</v>
      </c>
      <c r="F16" s="3" t="s">
        <v>139</v>
      </c>
      <c r="G16" s="3"/>
      <c r="H16" s="3"/>
    </row>
  </sheetData>
  <mergeCells count="2">
    <mergeCell ref="A1:H1"/>
    <mergeCell ref="A2:H2"/>
  </mergeCells>
  <conditionalFormatting sqref="D5:D100">
    <cfRule type="expression" dxfId="35" priority="11">
      <formula>D5="Revisar"</formula>
    </cfRule>
    <cfRule type="expression" dxfId="34" priority="12">
      <formula>D5="Alta"</formula>
    </cfRule>
  </conditionalFormatting>
  <conditionalFormatting sqref="E5:E16">
    <cfRule type="expression" dxfId="33" priority="5">
      <formula>E5="Revisar"</formula>
    </cfRule>
    <cfRule type="expression" dxfId="32" priority="6">
      <formula>E5="Alta"</formula>
    </cfRule>
  </conditionalFormatting>
  <conditionalFormatting sqref="E5:E100">
    <cfRule type="expression" dxfId="31" priority="7">
      <formula>E5="Correcto"</formula>
    </cfRule>
    <cfRule type="expression" dxfId="30" priority="8">
      <formula>E5="Corregir"</formula>
    </cfRule>
    <cfRule type="expression" dxfId="29" priority="9">
      <formula>E5="Pendiente"</formula>
    </cfRule>
    <cfRule type="expression" dxfId="28" priority="10">
      <formula>E5="No aplica"</formula>
    </cfRule>
  </conditionalFormatting>
  <conditionalFormatting sqref="F5:F16">
    <cfRule type="expression" dxfId="27" priority="1">
      <formula>F5="Correcto"</formula>
    </cfRule>
    <cfRule type="expression" dxfId="26" priority="2">
      <formula>F5="Corregir"</formula>
    </cfRule>
    <cfRule type="expression" dxfId="25" priority="3">
      <formula>F5="Pendiente"</formula>
    </cfRule>
    <cfRule type="expression" dxfId="24" priority="4">
      <formula>F5="No aplica"</formula>
    </cfRule>
  </conditionalFormatting>
  <dataValidations count="1">
    <dataValidation type="list" sqref="F5:F16 E5:E100" xr:uid="{00000000-0002-0000-0000-000000000000}">
      <formula1>"Pendiente,Correcto,Corregir,No aplica"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topLeftCell="A5" zoomScale="85" zoomScaleNormal="85" workbookViewId="0">
      <selection activeCell="F16" sqref="F16"/>
    </sheetView>
  </sheetViews>
  <sheetFormatPr baseColWidth="10" defaultColWidth="8.625" defaultRowHeight="14.25"/>
  <cols>
    <col min="1" max="1" width="10" customWidth="1"/>
    <col min="2" max="2" width="28" customWidth="1"/>
    <col min="3" max="3" width="66" customWidth="1"/>
    <col min="4" max="4" width="13" customWidth="1"/>
    <col min="5" max="5" width="17" customWidth="1"/>
    <col min="6" max="6" width="44" customWidth="1"/>
    <col min="7" max="7" width="34" customWidth="1"/>
    <col min="8" max="8" width="2" customWidth="1"/>
  </cols>
  <sheetData>
    <row r="1" spans="1:8" ht="19.5">
      <c r="A1" s="7" t="s">
        <v>49</v>
      </c>
      <c r="B1" s="7"/>
      <c r="C1" s="7"/>
      <c r="D1" s="7"/>
      <c r="E1" s="7"/>
      <c r="F1" s="7"/>
      <c r="G1" s="7"/>
      <c r="H1" s="7"/>
    </row>
    <row r="2" spans="1:8">
      <c r="A2" s="8" t="s">
        <v>1</v>
      </c>
      <c r="B2" s="8"/>
      <c r="C2" s="8"/>
      <c r="D2" s="8"/>
      <c r="E2" s="8"/>
      <c r="F2" s="8"/>
      <c r="G2" s="8"/>
      <c r="H2" s="8"/>
    </row>
    <row r="4" spans="1:8" ht="120">
      <c r="A4" s="2" t="s">
        <v>2</v>
      </c>
      <c r="B4" s="2" t="s">
        <v>3</v>
      </c>
      <c r="C4" s="2" t="s">
        <v>4</v>
      </c>
      <c r="D4" s="2" t="s">
        <v>5</v>
      </c>
      <c r="E4" s="2" t="s">
        <v>6</v>
      </c>
      <c r="F4" s="2" t="s">
        <v>7</v>
      </c>
      <c r="G4" s="2" t="s">
        <v>8</v>
      </c>
      <c r="H4" s="2" t="s">
        <v>9</v>
      </c>
    </row>
    <row r="5" spans="1:8" ht="99.75">
      <c r="A5" s="3" t="s">
        <v>50</v>
      </c>
      <c r="B5" s="3" t="s">
        <v>51</v>
      </c>
      <c r="C5" s="3" t="s">
        <v>52</v>
      </c>
      <c r="D5" s="3" t="s">
        <v>13</v>
      </c>
      <c r="E5" s="3" t="s">
        <v>14</v>
      </c>
      <c r="F5" s="3" t="s">
        <v>140</v>
      </c>
      <c r="G5" s="3" t="s">
        <v>143</v>
      </c>
      <c r="H5" s="3"/>
    </row>
    <row r="6" spans="1:8" ht="28.5">
      <c r="A6" s="3" t="s">
        <v>53</v>
      </c>
      <c r="B6" s="3" t="s">
        <v>54</v>
      </c>
      <c r="C6" s="3" t="s">
        <v>55</v>
      </c>
      <c r="D6" s="3" t="s">
        <v>13</v>
      </c>
      <c r="E6" s="3" t="s">
        <v>14</v>
      </c>
      <c r="F6" s="3" t="s">
        <v>139</v>
      </c>
      <c r="G6" s="3"/>
      <c r="H6" s="3"/>
    </row>
    <row r="7" spans="1:8" ht="28.5">
      <c r="A7" s="3" t="s">
        <v>56</v>
      </c>
      <c r="B7" s="3" t="s">
        <v>57</v>
      </c>
      <c r="C7" s="3" t="s">
        <v>58</v>
      </c>
      <c r="D7" s="3" t="s">
        <v>59</v>
      </c>
      <c r="E7" s="3" t="s">
        <v>14</v>
      </c>
      <c r="F7" s="3" t="s">
        <v>139</v>
      </c>
      <c r="G7" s="3"/>
      <c r="H7" s="3"/>
    </row>
    <row r="8" spans="1:8" ht="57">
      <c r="A8" s="3" t="s">
        <v>60</v>
      </c>
      <c r="B8" s="3" t="s">
        <v>61</v>
      </c>
      <c r="C8" s="3" t="s">
        <v>62</v>
      </c>
      <c r="D8" s="3" t="s">
        <v>59</v>
      </c>
      <c r="E8" s="3" t="s">
        <v>14</v>
      </c>
      <c r="F8" s="3" t="s">
        <v>140</v>
      </c>
      <c r="G8" s="3" t="s">
        <v>144</v>
      </c>
      <c r="H8" s="3"/>
    </row>
    <row r="9" spans="1:8" ht="28.5">
      <c r="A9" s="3" t="s">
        <v>63</v>
      </c>
      <c r="B9" s="3" t="s">
        <v>64</v>
      </c>
      <c r="C9" s="3" t="s">
        <v>65</v>
      </c>
      <c r="D9" s="3" t="s">
        <v>59</v>
      </c>
      <c r="E9" s="3" t="s">
        <v>14</v>
      </c>
      <c r="F9" s="3" t="s">
        <v>139</v>
      </c>
      <c r="G9" s="3"/>
      <c r="H9" s="3"/>
    </row>
    <row r="10" spans="1:8" ht="28.5">
      <c r="A10" s="3" t="s">
        <v>66</v>
      </c>
      <c r="B10" s="3" t="s">
        <v>67</v>
      </c>
      <c r="C10" s="3" t="s">
        <v>68</v>
      </c>
      <c r="D10" s="3" t="s">
        <v>24</v>
      </c>
      <c r="E10" s="3" t="s">
        <v>14</v>
      </c>
      <c r="F10" s="3" t="s">
        <v>139</v>
      </c>
      <c r="G10" s="3"/>
      <c r="H10" s="3"/>
    </row>
    <row r="11" spans="1:8" ht="28.5">
      <c r="A11" s="3" t="s">
        <v>69</v>
      </c>
      <c r="B11" s="3" t="s">
        <v>70</v>
      </c>
      <c r="C11" s="3" t="s">
        <v>71</v>
      </c>
      <c r="D11" s="3" t="s">
        <v>13</v>
      </c>
      <c r="E11" s="3" t="s">
        <v>14</v>
      </c>
      <c r="F11" s="3" t="s">
        <v>139</v>
      </c>
      <c r="G11" s="3"/>
      <c r="H11" s="3"/>
    </row>
    <row r="12" spans="1:8" ht="42.75">
      <c r="A12" s="3" t="s">
        <v>72</v>
      </c>
      <c r="B12" s="3" t="s">
        <v>73</v>
      </c>
      <c r="C12" s="3" t="s">
        <v>74</v>
      </c>
      <c r="D12" s="3" t="s">
        <v>59</v>
      </c>
      <c r="E12" s="3" t="s">
        <v>14</v>
      </c>
      <c r="F12" s="3" t="s">
        <v>139</v>
      </c>
      <c r="G12" s="3"/>
      <c r="H12" s="3"/>
    </row>
    <row r="13" spans="1:8" ht="42.75">
      <c r="A13" s="3" t="s">
        <v>75</v>
      </c>
      <c r="B13" s="3" t="s">
        <v>76</v>
      </c>
      <c r="C13" s="3" t="s">
        <v>77</v>
      </c>
      <c r="D13" s="3" t="s">
        <v>59</v>
      </c>
      <c r="E13" s="3" t="s">
        <v>14</v>
      </c>
      <c r="F13" s="3" t="s">
        <v>139</v>
      </c>
      <c r="G13" s="3"/>
      <c r="H13" s="3"/>
    </row>
    <row r="14" spans="1:8" ht="28.5">
      <c r="A14" s="3" t="s">
        <v>78</v>
      </c>
      <c r="B14" s="3" t="s">
        <v>79</v>
      </c>
      <c r="C14" s="3" t="s">
        <v>80</v>
      </c>
      <c r="D14" s="3" t="s">
        <v>59</v>
      </c>
      <c r="E14" s="3" t="s">
        <v>14</v>
      </c>
      <c r="F14" s="3" t="s">
        <v>139</v>
      </c>
      <c r="G14" s="3"/>
      <c r="H14" s="3"/>
    </row>
    <row r="15" spans="1:8" ht="28.5">
      <c r="A15" s="3" t="s">
        <v>81</v>
      </c>
      <c r="B15" s="3" t="s">
        <v>82</v>
      </c>
      <c r="C15" s="3" t="s">
        <v>83</v>
      </c>
      <c r="D15" s="3" t="s">
        <v>24</v>
      </c>
      <c r="E15" s="3" t="s">
        <v>14</v>
      </c>
      <c r="F15" s="3" t="s">
        <v>139</v>
      </c>
      <c r="G15" s="3"/>
      <c r="H15" s="3"/>
    </row>
    <row r="16" spans="1:8" ht="28.5">
      <c r="A16" s="3" t="s">
        <v>84</v>
      </c>
      <c r="B16" s="3" t="s">
        <v>85</v>
      </c>
      <c r="C16" s="3" t="s">
        <v>86</v>
      </c>
      <c r="D16" s="3" t="s">
        <v>59</v>
      </c>
      <c r="E16" s="3" t="s">
        <v>14</v>
      </c>
      <c r="F16" s="3" t="s">
        <v>139</v>
      </c>
      <c r="G16" s="3"/>
      <c r="H16" s="3"/>
    </row>
  </sheetData>
  <mergeCells count="2">
    <mergeCell ref="A1:H1"/>
    <mergeCell ref="A2:H2"/>
  </mergeCells>
  <conditionalFormatting sqref="D5:D100">
    <cfRule type="expression" dxfId="23" priority="11">
      <formula>D5="Revisar"</formula>
    </cfRule>
    <cfRule type="expression" dxfId="22" priority="12">
      <formula>D5="Alta"</formula>
    </cfRule>
  </conditionalFormatting>
  <conditionalFormatting sqref="E5:E16">
    <cfRule type="expression" dxfId="21" priority="5">
      <formula>E5="Revisar"</formula>
    </cfRule>
    <cfRule type="expression" dxfId="20" priority="6">
      <formula>E5="Alta"</formula>
    </cfRule>
  </conditionalFormatting>
  <conditionalFormatting sqref="E5:E100">
    <cfRule type="expression" dxfId="19" priority="7">
      <formula>E5="Correcto"</formula>
    </cfRule>
    <cfRule type="expression" dxfId="18" priority="8">
      <formula>E5="Corregir"</formula>
    </cfRule>
    <cfRule type="expression" dxfId="17" priority="9">
      <formula>E5="Pendiente"</formula>
    </cfRule>
    <cfRule type="expression" dxfId="16" priority="10">
      <formula>E5="No aplica"</formula>
    </cfRule>
  </conditionalFormatting>
  <conditionalFormatting sqref="F5:F16">
    <cfRule type="expression" dxfId="15" priority="1">
      <formula>F5="Correcto"</formula>
    </cfRule>
    <cfRule type="expression" dxfId="14" priority="2">
      <formula>F5="Corregir"</formula>
    </cfRule>
    <cfRule type="expression" dxfId="13" priority="3">
      <formula>F5="Pendiente"</formula>
    </cfRule>
    <cfRule type="expression" dxfId="12" priority="4">
      <formula>F5="No aplica"</formula>
    </cfRule>
  </conditionalFormatting>
  <dataValidations count="1">
    <dataValidation type="list" sqref="F5:F16 E5:E100" xr:uid="{00000000-0002-0000-0100-000000000000}">
      <formula1>"Pendiente,Correcto,Corregir,No aplica"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tabSelected="1" zoomScale="70" zoomScaleNormal="70" workbookViewId="0">
      <selection activeCell="F11" sqref="F11"/>
    </sheetView>
  </sheetViews>
  <sheetFormatPr baseColWidth="10" defaultColWidth="8.625" defaultRowHeight="14.25"/>
  <cols>
    <col min="1" max="1" width="10" customWidth="1"/>
    <col min="2" max="2" width="28" customWidth="1"/>
    <col min="3" max="3" width="66" customWidth="1"/>
    <col min="4" max="4" width="13" customWidth="1"/>
    <col min="5" max="5" width="17" customWidth="1"/>
    <col min="6" max="6" width="44" customWidth="1"/>
    <col min="7" max="7" width="34" customWidth="1"/>
    <col min="8" max="8" width="2" customWidth="1"/>
  </cols>
  <sheetData>
    <row r="1" spans="1:8" ht="19.5">
      <c r="A1" s="7" t="s">
        <v>87</v>
      </c>
      <c r="B1" s="7"/>
      <c r="C1" s="7"/>
      <c r="D1" s="7"/>
      <c r="E1" s="7"/>
      <c r="F1" s="7"/>
      <c r="G1" s="7"/>
      <c r="H1" s="7"/>
    </row>
    <row r="2" spans="1:8">
      <c r="A2" s="8" t="s">
        <v>1</v>
      </c>
      <c r="B2" s="8"/>
      <c r="C2" s="8"/>
      <c r="D2" s="8"/>
      <c r="E2" s="8"/>
      <c r="F2" s="8"/>
      <c r="G2" s="8"/>
      <c r="H2" s="8"/>
    </row>
    <row r="4" spans="1:8" ht="120">
      <c r="A4" s="2" t="s">
        <v>2</v>
      </c>
      <c r="B4" s="2" t="s">
        <v>3</v>
      </c>
      <c r="C4" s="2" t="s">
        <v>4</v>
      </c>
      <c r="D4" s="2" t="s">
        <v>5</v>
      </c>
      <c r="E4" s="2" t="s">
        <v>6</v>
      </c>
      <c r="F4" s="2" t="s">
        <v>7</v>
      </c>
      <c r="G4" s="2" t="s">
        <v>8</v>
      </c>
      <c r="H4" s="2" t="s">
        <v>9</v>
      </c>
    </row>
    <row r="5" spans="1:8" ht="28.5">
      <c r="A5" s="3" t="s">
        <v>88</v>
      </c>
      <c r="B5" s="3" t="s">
        <v>89</v>
      </c>
      <c r="C5" s="3" t="s">
        <v>90</v>
      </c>
      <c r="D5" s="3" t="s">
        <v>14</v>
      </c>
      <c r="E5" s="3" t="s">
        <v>14</v>
      </c>
      <c r="F5" s="3" t="s">
        <v>139</v>
      </c>
      <c r="G5" s="3"/>
      <c r="H5" s="3"/>
    </row>
    <row r="6" spans="1:8" ht="42.75">
      <c r="A6" s="3" t="s">
        <v>91</v>
      </c>
      <c r="B6" s="3" t="s">
        <v>92</v>
      </c>
      <c r="C6" s="3" t="s">
        <v>93</v>
      </c>
      <c r="D6" s="3" t="s">
        <v>14</v>
      </c>
      <c r="E6" s="3" t="s">
        <v>14</v>
      </c>
      <c r="F6" s="3" t="s">
        <v>140</v>
      </c>
      <c r="G6" s="3" t="s">
        <v>145</v>
      </c>
      <c r="H6" s="3"/>
    </row>
    <row r="7" spans="1:8" ht="28.5">
      <c r="A7" s="3" t="s">
        <v>94</v>
      </c>
      <c r="B7" s="3" t="s">
        <v>95</v>
      </c>
      <c r="C7" s="3" t="s">
        <v>96</v>
      </c>
      <c r="D7" s="3" t="s">
        <v>14</v>
      </c>
      <c r="E7" s="3" t="s">
        <v>14</v>
      </c>
      <c r="F7" s="3" t="s">
        <v>139</v>
      </c>
      <c r="G7" s="3"/>
      <c r="H7" s="3"/>
    </row>
    <row r="8" spans="1:8" ht="28.5">
      <c r="A8" s="3" t="s">
        <v>97</v>
      </c>
      <c r="B8" s="3" t="s">
        <v>98</v>
      </c>
      <c r="C8" s="3" t="s">
        <v>99</v>
      </c>
      <c r="D8" s="3" t="s">
        <v>14</v>
      </c>
      <c r="E8" s="3" t="s">
        <v>14</v>
      </c>
      <c r="F8" s="3" t="s">
        <v>139</v>
      </c>
      <c r="G8" s="3"/>
      <c r="H8" s="3"/>
    </row>
    <row r="9" spans="1:8" ht="28.5">
      <c r="A9" s="3" t="s">
        <v>100</v>
      </c>
      <c r="B9" s="3" t="s">
        <v>101</v>
      </c>
      <c r="C9" s="3" t="s">
        <v>102</v>
      </c>
      <c r="D9" s="3" t="s">
        <v>14</v>
      </c>
      <c r="E9" s="3" t="s">
        <v>14</v>
      </c>
      <c r="F9" s="3" t="s">
        <v>139</v>
      </c>
      <c r="G9" s="3"/>
      <c r="H9" s="3"/>
    </row>
    <row r="10" spans="1:8" ht="28.5">
      <c r="A10" s="3" t="s">
        <v>103</v>
      </c>
      <c r="B10" s="3" t="s">
        <v>104</v>
      </c>
      <c r="C10" s="3" t="s">
        <v>105</v>
      </c>
      <c r="D10" s="3" t="s">
        <v>14</v>
      </c>
      <c r="E10" s="3" t="s">
        <v>14</v>
      </c>
      <c r="F10" s="3" t="s">
        <v>139</v>
      </c>
      <c r="G10" s="3"/>
      <c r="H10" s="3"/>
    </row>
    <row r="11" spans="1:8" ht="28.5">
      <c r="A11" s="3" t="s">
        <v>106</v>
      </c>
      <c r="B11" s="3" t="s">
        <v>107</v>
      </c>
      <c r="C11" s="3" t="s">
        <v>108</v>
      </c>
      <c r="D11" s="3" t="s">
        <v>14</v>
      </c>
      <c r="E11" s="3" t="s">
        <v>14</v>
      </c>
      <c r="F11" s="3" t="s">
        <v>139</v>
      </c>
      <c r="G11" s="3"/>
      <c r="H11" s="3"/>
    </row>
  </sheetData>
  <mergeCells count="2">
    <mergeCell ref="A1:H1"/>
    <mergeCell ref="A2:H2"/>
  </mergeCells>
  <conditionalFormatting sqref="D5:D100">
    <cfRule type="expression" dxfId="11" priority="11">
      <formula>D5="Revisar"</formula>
    </cfRule>
    <cfRule type="expression" dxfId="10" priority="12">
      <formula>D5="Alta"</formula>
    </cfRule>
  </conditionalFormatting>
  <conditionalFormatting sqref="E5:E11">
    <cfRule type="expression" dxfId="9" priority="5">
      <formula>E5="Revisar"</formula>
    </cfRule>
    <cfRule type="expression" dxfId="8" priority="6">
      <formula>E5="Alta"</formula>
    </cfRule>
  </conditionalFormatting>
  <conditionalFormatting sqref="E5:E100">
    <cfRule type="expression" dxfId="7" priority="7">
      <formula>E5="Correcto"</formula>
    </cfRule>
    <cfRule type="expression" dxfId="6" priority="8">
      <formula>E5="Corregir"</formula>
    </cfRule>
    <cfRule type="expression" dxfId="5" priority="9">
      <formula>E5="Pendiente"</formula>
    </cfRule>
    <cfRule type="expression" dxfId="4" priority="10">
      <formula>E5="No aplica"</formula>
    </cfRule>
  </conditionalFormatting>
  <conditionalFormatting sqref="F5:F11">
    <cfRule type="expression" dxfId="3" priority="1">
      <formula>F5="Correcto"</formula>
    </cfRule>
    <cfRule type="expression" dxfId="2" priority="2">
      <formula>F5="Corregir"</formula>
    </cfRule>
    <cfRule type="expression" dxfId="1" priority="3">
      <formula>F5="Pendiente"</formula>
    </cfRule>
    <cfRule type="expression" dxfId="0" priority="4">
      <formula>F5="No aplica"</formula>
    </cfRule>
  </conditionalFormatting>
  <dataValidations count="1">
    <dataValidation type="list" sqref="F5:F11 E5:E100" xr:uid="{00000000-0002-0000-0300-000000000000}">
      <formula1>"Pendiente,Correcto,Corregir,No aplica"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topLeftCell="A2" zoomScale="70" zoomScaleNormal="70" workbookViewId="0">
      <selection activeCell="H19" sqref="H19"/>
    </sheetView>
  </sheetViews>
  <sheetFormatPr baseColWidth="10" defaultColWidth="8.625" defaultRowHeight="14.25"/>
  <cols>
    <col min="1" max="1" width="34" customWidth="1"/>
    <col min="2" max="2" width="78" customWidth="1"/>
    <col min="3" max="4" width="18" customWidth="1"/>
  </cols>
  <sheetData>
    <row r="1" spans="1:8" ht="20.25">
      <c r="A1" s="9" t="s">
        <v>109</v>
      </c>
      <c r="B1" s="9"/>
      <c r="C1" s="9"/>
      <c r="D1" s="9"/>
      <c r="E1" s="9"/>
      <c r="F1" s="9"/>
      <c r="G1" s="9"/>
      <c r="H1" s="9"/>
    </row>
    <row r="3" spans="1:8" ht="15">
      <c r="A3" s="4" t="s">
        <v>110</v>
      </c>
      <c r="B3" s="1" t="s">
        <v>111</v>
      </c>
    </row>
    <row r="4" spans="1:8" ht="15">
      <c r="A4" s="4" t="s">
        <v>112</v>
      </c>
      <c r="B4" s="1" t="s">
        <v>113</v>
      </c>
    </row>
    <row r="5" spans="1:8" ht="15">
      <c r="A5" s="4" t="s">
        <v>114</v>
      </c>
      <c r="B5" s="1" t="s">
        <v>115</v>
      </c>
    </row>
    <row r="6" spans="1:8" ht="15">
      <c r="A6" s="4" t="s">
        <v>116</v>
      </c>
      <c r="B6" s="1" t="s">
        <v>117</v>
      </c>
    </row>
    <row r="7" spans="1:8" ht="29.25">
      <c r="A7" s="4" t="s">
        <v>118</v>
      </c>
      <c r="B7" s="1" t="s">
        <v>119</v>
      </c>
    </row>
    <row r="9" spans="1:8" ht="15">
      <c r="A9" s="5" t="s">
        <v>120</v>
      </c>
      <c r="B9" s="5" t="s">
        <v>121</v>
      </c>
      <c r="C9" s="5" t="s">
        <v>122</v>
      </c>
      <c r="D9" s="5" t="s">
        <v>123</v>
      </c>
    </row>
    <row r="10" spans="1:8">
      <c r="A10" t="s">
        <v>124</v>
      </c>
      <c r="B10">
        <v>12</v>
      </c>
      <c r="C10">
        <f>COUNTIF(Reglas_actuales!E5:E16,"Pendiente")</f>
        <v>12</v>
      </c>
      <c r="D10">
        <f>COUNTIF(Reglas_actuales!E5:E16,"Corregir")</f>
        <v>0</v>
      </c>
    </row>
    <row r="11" spans="1:8">
      <c r="A11" t="s">
        <v>125</v>
      </c>
      <c r="B11">
        <v>12</v>
      </c>
      <c r="C11">
        <f>COUNTIF(Reglas_tecnicas!E5:E16,"Pendiente")</f>
        <v>12</v>
      </c>
      <c r="D11">
        <f>COUNTIF(Reglas_tecnicas!E5:E16,"Corregir")</f>
        <v>0</v>
      </c>
    </row>
    <row r="12" spans="1:8">
      <c r="A12" t="s">
        <v>126</v>
      </c>
      <c r="B12">
        <v>7</v>
      </c>
      <c r="C12">
        <f>COUNTIF(Reglas_pendientes!E5:E11,"Pendiente")</f>
        <v>7</v>
      </c>
      <c r="D12">
        <f>COUNTIF(Reglas_pendientes!E5:E11,"Corregir")</f>
        <v>0</v>
      </c>
    </row>
    <row r="14" spans="1:8" ht="15">
      <c r="A14" s="10" t="s">
        <v>127</v>
      </c>
      <c r="B14" s="10"/>
      <c r="C14" s="10"/>
      <c r="D14" s="10"/>
    </row>
    <row r="15" spans="1:8">
      <c r="A15" s="11" t="s">
        <v>128</v>
      </c>
      <c r="B15" s="11"/>
      <c r="C15" s="11"/>
      <c r="D15" s="11"/>
    </row>
    <row r="16" spans="1:8">
      <c r="A16" s="11"/>
      <c r="B16" s="11"/>
      <c r="C16" s="11"/>
      <c r="D16" s="11"/>
    </row>
    <row r="17" spans="1:4">
      <c r="A17" s="11"/>
      <c r="B17" s="11"/>
      <c r="C17" s="11"/>
      <c r="D17" s="11"/>
    </row>
    <row r="18" spans="1:4">
      <c r="A18" s="11"/>
      <c r="B18" s="11"/>
      <c r="C18" s="11"/>
      <c r="D18" s="11"/>
    </row>
    <row r="19" spans="1:4">
      <c r="A19" s="11"/>
      <c r="B19" s="11"/>
      <c r="C19" s="11"/>
      <c r="D19" s="11"/>
    </row>
    <row r="21" spans="1:4" ht="15">
      <c r="A21" s="6" t="s">
        <v>129</v>
      </c>
      <c r="B21" s="6" t="s">
        <v>130</v>
      </c>
    </row>
    <row r="22" spans="1:4" ht="28.5">
      <c r="A22" s="1" t="s">
        <v>131</v>
      </c>
      <c r="B22" s="1" t="s">
        <v>132</v>
      </c>
    </row>
    <row r="23" spans="1:4" ht="28.5">
      <c r="A23" s="1" t="s">
        <v>133</v>
      </c>
      <c r="B23" s="1" t="s">
        <v>134</v>
      </c>
    </row>
    <row r="24" spans="1:4" ht="28.5">
      <c r="A24" s="1" t="s">
        <v>135</v>
      </c>
      <c r="B24" s="1" t="s">
        <v>136</v>
      </c>
    </row>
    <row r="25" spans="1:4" ht="28.5">
      <c r="A25" s="1" t="s">
        <v>137</v>
      </c>
      <c r="B25" s="1" t="s">
        <v>138</v>
      </c>
    </row>
  </sheetData>
  <mergeCells count="3">
    <mergeCell ref="A1:H1"/>
    <mergeCell ref="A14:D14"/>
    <mergeCell ref="A15:D19"/>
  </mergeCells>
  <conditionalFormatting sqref="C10:C12">
    <cfRule type="dataBar" priority="13">
      <dataBar>
        <cfvo type="min"/>
        <cfvo type="max"/>
        <color rgb="FF0F9ED5"/>
      </dataBar>
    </cfRule>
    <cfRule type="dataBar" priority="14">
      <dataBar>
        <cfvo type="min"/>
        <cfvo type="max"/>
        <color rgb="FF0F9ED5"/>
      </dataBar>
      <extLst>
        <ext xmlns:x14="http://schemas.microsoft.com/office/spreadsheetml/2009/9/main" uri="{B025F937-C7B1-47D3-B67F-A62EFF666E3E}">
          <x14:id>{DA12C461-A72D-FADC-ED1B-42B2A151D9C7}</x14:id>
        </ext>
      </extLst>
    </cfRule>
  </conditionalFormatting>
  <conditionalFormatting sqref="D10:D12">
    <cfRule type="dataBar" priority="17">
      <dataBar>
        <cfvo type="min"/>
        <cfvo type="max"/>
        <color rgb="FFE97132"/>
      </dataBar>
    </cfRule>
    <cfRule type="dataBar" priority="18">
      <dataBar>
        <cfvo type="min"/>
        <cfvo type="max"/>
        <color rgb="FFE97132"/>
      </dataBar>
      <extLst>
        <ext xmlns:x14="http://schemas.microsoft.com/office/spreadsheetml/2009/9/main" uri="{B025F937-C7B1-47D3-B67F-A62EFF666E3E}">
          <x14:id>{2CF8075F-86B4-89D8-8DF8-06BBF5DD8D68}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12C461-A72D-FADC-ED1B-42B2A151D9C7}">
            <x14:dataBar>
              <x14:cfvo type="min"/>
              <x14:cfvo type="max"/>
              <x14:negativeFillColor auto="1"/>
              <x14:axisColor auto="1"/>
            </x14:dataBar>
          </x14:cfRule>
          <xm:sqref>C10:C12</xm:sqref>
        </x14:conditionalFormatting>
        <x14:conditionalFormatting xmlns:xm="http://schemas.microsoft.com/office/excel/2006/main">
          <x14:cfRule type="dataBar" id="{2CF8075F-86B4-89D8-8DF8-06BBF5DD8D68}">
            <x14:dataBar>
              <x14:cfvo type="min"/>
              <x14:cfvo type="max"/>
              <x14:negativeFillColor auto="1"/>
              <x14:axisColor auto="1"/>
            </x14:dataBar>
          </x14:cfRule>
          <xm:sqref>D10:D12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Reglas_actuales</vt:lpstr>
      <vt:lpstr>Reglas_tecnicas</vt:lpstr>
      <vt:lpstr>Reglas_pendientes</vt:lpstr>
      <vt:lpstr>Resumen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Jhunior Eduardo Guevara Lazaro</dc:creator>
  <cp:keywords/>
  <dc:description/>
  <cp:lastModifiedBy>Christofer Richard Cardenas Pareja</cp:lastModifiedBy>
  <cp:revision/>
  <dcterms:created xsi:type="dcterms:W3CDTF">2026-10-06T20:14:41Z</dcterms:created>
  <dcterms:modified xsi:type="dcterms:W3CDTF">2026-10-12T16:18:57Z</dcterms:modified>
  <cp:category/>
  <cp:contentStatus/>
</cp:coreProperties>
</file>